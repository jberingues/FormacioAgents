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beringuesf/Documents/Cursor/FormacioAgents/formacioagents/"/>
    </mc:Choice>
  </mc:AlternateContent>
  <xr:revisionPtr revIDLastSave="0" documentId="13_ncr:1_{CBB5C6CE-2320-874F-9734-4530B29A3F1B}" xr6:coauthVersionLast="47" xr6:coauthVersionMax="47" xr10:uidLastSave="{00000000-0000-0000-0000-000000000000}"/>
  <bookViews>
    <workbookView xWindow="0" yWindow="660" windowWidth="25960" windowHeight="18980" tabRatio="500" xr2:uid="{2D00C5C3-C263-2F4A-B02B-BD28ECE01A0B}"/>
  </bookViews>
  <sheets>
    <sheet name="BOM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5" i="1"/>
  <c r="D36" i="1"/>
  <c r="F36" i="1"/>
  <c r="F37" i="1"/>
  <c r="F39" i="1"/>
  <c r="F41" i="1"/>
</calcChain>
</file>

<file path=xl/sharedStrings.xml><?xml version="1.0" encoding="utf-8"?>
<sst xmlns="http://schemas.openxmlformats.org/spreadsheetml/2006/main" count="68" uniqueCount="68">
  <si>
    <t>Bill of Materials</t>
  </si>
  <si>
    <t>Variant:</t>
  </si>
  <si>
    <t>Creation Date:</t>
  </si>
  <si>
    <t>PCB version :</t>
  </si>
  <si>
    <t>MATERIAL</t>
  </si>
  <si>
    <t>Description</t>
  </si>
  <si>
    <t>Designator</t>
  </si>
  <si>
    <t>Quantity</t>
  </si>
  <si>
    <t>Unit Cost</t>
  </si>
  <si>
    <t>Cost</t>
  </si>
  <si>
    <t>Manufacturer</t>
  </si>
  <si>
    <t>Part Number</t>
  </si>
  <si>
    <t>Comment</t>
  </si>
  <si>
    <t>3003737</t>
  </si>
  <si>
    <t>DIODE BRID.RECTI AM156 40V 1A D8,5*5,1MM</t>
  </si>
  <si>
    <t>3003522</t>
  </si>
  <si>
    <t>BUZZER MAG 2KHZ 1.5VDC 12MM EXTERNALTH</t>
  </si>
  <si>
    <t>3000598</t>
  </si>
  <si>
    <t>CAP CERAMIC 100N SMD 0603 16V 10% Y5V</t>
  </si>
  <si>
    <t>3000719</t>
  </si>
  <si>
    <t>CAP ALUM 10U TH 5x11MM 25V 20%</t>
  </si>
  <si>
    <t>3003780</t>
  </si>
  <si>
    <t>DIODE SCHOTTKY D BAT54A 30V 200MA SOT-23</t>
  </si>
  <si>
    <t>3003681</t>
  </si>
  <si>
    <t>DIODE ZENER BZT55C 5V6 500MW SOD80 2P</t>
  </si>
  <si>
    <t>3003775</t>
  </si>
  <si>
    <t>DIODE LED GREEN 570NM 0805 SMD SP</t>
  </si>
  <si>
    <t>3003762</t>
  </si>
  <si>
    <t>DIODE LED RED 650NM 0805 SMD</t>
  </si>
  <si>
    <t>3003669</t>
  </si>
  <si>
    <t>DIODE 1N 4148 SMD SOD80C</t>
  </si>
  <si>
    <t>3003494</t>
  </si>
  <si>
    <t>FUSE CRYSTAL TUBE 6,3A 5X20MM FAST</t>
  </si>
  <si>
    <t>3003506</t>
  </si>
  <si>
    <t>FUSE HOLDER HOR CAP PROTEC</t>
  </si>
  <si>
    <t>3003504</t>
  </si>
  <si>
    <t>FUSE HOLDER HOR PROTEC</t>
  </si>
  <si>
    <t>3003026</t>
  </si>
  <si>
    <t>RELAY GENERAL PURPOSE DPDT 12V TH</t>
  </si>
  <si>
    <t>3003808</t>
  </si>
  <si>
    <t>TRANSISTOR PNP SMD BC857B/T1 SOT323</t>
  </si>
  <si>
    <t>3003807</t>
  </si>
  <si>
    <t>TRANSISTOR NPN SMD BC847B SOT–23</t>
  </si>
  <si>
    <t>3003913</t>
  </si>
  <si>
    <t>RESISTOR 100R SMD 0603 5% 0,1W</t>
  </si>
  <si>
    <t>3003925</t>
  </si>
  <si>
    <t>RESISTOR 10K SMD 0603 5% 0,1W</t>
  </si>
  <si>
    <t>3000151</t>
  </si>
  <si>
    <t>RESISTOR 8K2 SMD 0805 5% 1/8W</t>
  </si>
  <si>
    <t>3003413</t>
  </si>
  <si>
    <t>TACT SWITCH SPST-NO 6X6 LOW TH</t>
  </si>
  <si>
    <t>3003412</t>
  </si>
  <si>
    <t>TACT SWITCH SPST-NO 6X6MM RAISED RED TH</t>
  </si>
  <si>
    <t>3003060</t>
  </si>
  <si>
    <t>TRANSFORMER 230VAC 12VAC 2,8VA TH</t>
  </si>
  <si>
    <t>3000836</t>
  </si>
  <si>
    <t>IC VOLTAGE REG LDO 5V L7805ABD SMD SO8</t>
  </si>
  <si>
    <t>3005688</t>
  </si>
  <si>
    <t>IC MCU PIC16F18855T-I/SS 8BIT 8KB FLASH</t>
  </si>
  <si>
    <t>Total Components</t>
  </si>
  <si>
    <t>Handling</t>
  </si>
  <si>
    <t>(10%)</t>
  </si>
  <si>
    <t>Cost producció semifabricat</t>
  </si>
  <si>
    <t>estimació</t>
  </si>
  <si>
    <t>(igual que un GO)</t>
  </si>
  <si>
    <t>Total Estimat</t>
  </si>
  <si>
    <t>(cost sense la pila)</t>
  </si>
  <si>
    <t>S-TESTBOM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</si>
</sst>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\ [$€-403];[Red]\-#,##0.000000\ [$€-403]"/>
    <numFmt numFmtId="165" formatCode="#,##0.00\ [$€-403];[Red]\-#,##0.00\ [$€-403]"/>
    <numFmt numFmtId="166" formatCode="#,##0.000\ [$€-C0A];[Red]\-#,##0.000\ [$€-C0A]"/>
  </numFmts>
  <fonts count="12" x14ac:knownFonts="1">
    <font>
      <sz val="10"/>
      <name val="Arial"/>
      <charset val="1"/>
    </font>
    <font>
      <b/>
      <sz val="24"/>
      <name val="Arial"/>
      <family val="2"/>
      <charset val="1"/>
    </font>
    <font>
      <b/>
      <sz val="10"/>
      <name val="Arial"/>
      <family val="2"/>
      <charset val="1"/>
    </font>
    <font>
      <b/>
      <sz val="14"/>
      <name val="Arial"/>
      <family val="2"/>
      <charset val="1"/>
    </font>
    <font>
      <sz val="9"/>
      <name val="Arial"/>
      <family val="2"/>
    </font>
    <font>
      <b/>
      <sz val="9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  <family val="2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31"/>
        <bgColor indexed="26"/>
      </patternFill>
    </fill>
  </fills>
  <borders count="1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1" fillId="0" borderId="0"/>
  </cellStyleXfs>
  <cellXfs count="5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2" borderId="1" xfId="0" applyFill="1" applyBorder="1"/>
    <xf numFmtId="0" fontId="0" fillId="2" borderId="2" xfId="0" applyFill="1" applyBorder="1" applyAlignment="1">
      <alignment horizontal="left"/>
    </xf>
    <xf numFmtId="0" fontId="0" fillId="2" borderId="3" xfId="0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3" borderId="4" xfId="0" applyFill="1" applyBorder="1"/>
    <xf numFmtId="0" fontId="0" fillId="3" borderId="0" xfId="0" applyFill="1"/>
    <xf numFmtId="0" fontId="2" fillId="0" borderId="5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4" xfId="0" applyBorder="1"/>
    <xf numFmtId="0" fontId="2" fillId="0" borderId="6" xfId="0" applyFont="1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4" fillId="0" borderId="5" xfId="0" applyFont="1" applyBorder="1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2" fillId="0" borderId="9" xfId="0" applyFont="1" applyBorder="1" applyAlignment="1">
      <alignment horizontal="left"/>
    </xf>
    <xf numFmtId="0" fontId="0" fillId="0" borderId="5" xfId="0" applyBorder="1"/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2" borderId="14" xfId="0" applyFill="1" applyBorder="1"/>
    <xf numFmtId="164" fontId="6" fillId="0" borderId="11" xfId="0" applyNumberFormat="1" applyFont="1" applyBorder="1" applyAlignment="1">
      <alignment vertical="top"/>
    </xf>
    <xf numFmtId="165" fontId="6" fillId="0" borderId="15" xfId="0" applyNumberFormat="1" applyFont="1" applyBorder="1" applyAlignment="1">
      <alignment horizontal="center" vertical="top"/>
    </xf>
    <xf numFmtId="0" fontId="6" fillId="0" borderId="11" xfId="0" applyFont="1" applyBorder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5" xfId="0" applyFont="1" applyBorder="1" applyAlignment="1">
      <alignment horizontal="left" vertical="top"/>
    </xf>
    <xf numFmtId="1" fontId="6" fillId="2" borderId="5" xfId="0" applyNumberFormat="1" applyFont="1" applyFill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0" fillId="0" borderId="2" xfId="0" applyBorder="1" applyAlignment="1">
      <alignment horizontal="left" vertical="top"/>
    </xf>
    <xf numFmtId="1" fontId="0" fillId="2" borderId="11" xfId="0" applyNumberFormat="1" applyFill="1" applyBorder="1" applyAlignment="1">
      <alignment vertical="top"/>
    </xf>
    <xf numFmtId="164" fontId="6" fillId="0" borderId="11" xfId="0" applyNumberFormat="1" applyFont="1" applyBorder="1" applyAlignment="1">
      <alignment horizontal="center" vertical="top"/>
    </xf>
    <xf numFmtId="165" fontId="2" fillId="5" borderId="15" xfId="0" applyNumberFormat="1" applyFont="1" applyFill="1" applyBorder="1" applyAlignment="1">
      <alignment horizontal="center" vertical="top"/>
    </xf>
    <xf numFmtId="0" fontId="0" fillId="0" borderId="2" xfId="0" applyBorder="1" applyAlignment="1">
      <alignment vertical="top"/>
    </xf>
    <xf numFmtId="165" fontId="6" fillId="5" borderId="15" xfId="0" applyNumberFormat="1" applyFont="1" applyFill="1" applyBorder="1" applyAlignment="1">
      <alignment horizontal="center" vertical="top"/>
    </xf>
    <xf numFmtId="0" fontId="6" fillId="0" borderId="11" xfId="0" applyFont="1" applyBorder="1" applyAlignment="1">
      <alignment vertical="top"/>
    </xf>
    <xf numFmtId="0" fontId="7" fillId="0" borderId="11" xfId="0" applyFont="1" applyBorder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164" fontId="10" fillId="0" borderId="11" xfId="0" applyNumberFormat="1" applyFont="1" applyBorder="1" applyAlignment="1">
      <alignment horizontal="center" vertical="center"/>
    </xf>
    <xf numFmtId="166" fontId="8" fillId="6" borderId="1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top"/>
    </xf>
    <xf numFmtId="166" fontId="0" fillId="0" borderId="0" xfId="0" applyNumberFormat="1" applyAlignment="1">
      <alignment horizontal="center" vertical="top"/>
    </xf>
    <xf numFmtId="14" fontId="2" fillId="0" borderId="7" xfId="0" applyNumberFormat="1" applyFont="1" applyBorder="1" applyAlignment="1">
      <alignment horizontal="left"/>
    </xf>
    <xf numFmtId="0" fontId="1" fillId="0" borderId="16" xfId="0" applyFont="1" applyBorder="1" applyAlignment="1">
      <alignment horizontal="center" vertical="center"/>
    </xf>
    <xf numFmtId="49" fontId="0" fillId="0" borderId="13" xfId="0" applyNumberFormat="1" applyBorder="1"/>
  </cellXfs>
  <cellStyles count="2">
    <cellStyle name="Normal" xfId="0" builtinId="0"/>
    <cellStyle name="Normal 2" xfId="1" xr:uid="{C65B3582-A186-AD40-9C25-46DF26677B21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EEE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4</xdr:col>
      <xdr:colOff>596900</xdr:colOff>
      <xdr:row>2</xdr:row>
      <xdr:rowOff>12700</xdr:rowOff>
    </xdr:to>
    <xdr:pic>
      <xdr:nvPicPr>
        <xdr:cNvPr id="1036" name="Picture 1">
          <a:extLst>
            <a:ext uri="{FF2B5EF4-FFF2-40B4-BE49-F238E27FC236}">
              <a16:creationId xmlns:a16="http://schemas.microsoft.com/office/drawing/2014/main" id="{8ECBD0C0-85D6-7DDF-4A8E-2721B3FFB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03200"/>
          <a:ext cx="1536700" cy="444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03410-7CFB-704C-BCD5-547623EA0F6C}">
  <sheetPr>
    <pageSetUpPr fitToPage="1"/>
  </sheetPr>
  <dimension ref="A1:I41"/>
  <sheetViews>
    <sheetView showGridLines="0" tabSelected="1" workbookViewId="0">
      <selection activeCell="A9" sqref="A9:A31"/>
    </sheetView>
  </sheetViews>
  <sheetFormatPr baseColWidth="10" defaultColWidth="9.1640625" defaultRowHeight="13" x14ac:dyDescent="0.15"/>
  <cols>
    <col min="1" max="1" width="15.33203125" style="1" customWidth="1"/>
    <col min="2" max="2" width="56.1640625" style="2" customWidth="1"/>
    <col min="3" max="3" width="28.5" style="2" customWidth="1"/>
    <col min="4" max="4" width="12.33203125" style="1" customWidth="1"/>
    <col min="5" max="5" width="19.5" style="1" customWidth="1"/>
    <col min="6" max="6" width="19.5" style="3" customWidth="1"/>
    <col min="7" max="7" width="12" style="1" customWidth="1"/>
    <col min="8" max="8" width="36.83203125" style="1" customWidth="1"/>
    <col min="9" max="9" width="28" style="1" customWidth="1"/>
    <col min="10" max="16384" width="9.1640625" style="1"/>
  </cols>
  <sheetData>
    <row r="1" spans="1:9" x14ac:dyDescent="0.15">
      <c r="A1" s="4"/>
      <c r="B1" s="5"/>
      <c r="C1" s="5"/>
      <c r="D1" s="6"/>
      <c r="E1"/>
      <c r="F1" s="7"/>
    </row>
    <row r="2" spans="1:9" ht="37.5" customHeight="1" x14ac:dyDescent="0.15">
      <c r="A2" s="51" t="s">
        <v>0</v>
      </c>
      <c r="B2" s="51"/>
      <c r="C2" s="8"/>
      <c r="D2" s="9"/>
      <c r="E2" s="10"/>
      <c r="F2" s="7"/>
    </row>
    <row r="3" spans="1:9" ht="26.25" customHeight="1" x14ac:dyDescent="0.2">
      <c r="A3" s="11" t="s">
        <v>1</v>
      </c>
      <c r="B3" s="12" t="s">
        <v>67</v>
      </c>
      <c r="C3" s="13"/>
      <c r="D3" s="14"/>
      <c r="E3"/>
      <c r="F3" s="7"/>
    </row>
    <row r="4" spans="1:9" x14ac:dyDescent="0.15">
      <c r="A4" s="15"/>
      <c r="B4" s="16"/>
      <c r="C4" s="16"/>
      <c r="D4" s="17"/>
      <c r="E4"/>
      <c r="F4" s="7"/>
    </row>
    <row r="5" spans="1:9" ht="15.75" customHeight="1" x14ac:dyDescent="0.15">
      <c r="A5" s="18" t="s">
        <v>2</v>
      </c>
      <c r="B5" s="50">
        <v>46024</v>
      </c>
      <c r="C5" s="19"/>
      <c r="D5" s="14"/>
      <c r="E5"/>
      <c r="F5" s="20"/>
    </row>
    <row r="6" spans="1:9" ht="15.75" customHeight="1" x14ac:dyDescent="0.15">
      <c r="A6" s="18" t="s">
        <v>3</v>
      </c>
      <c r="B6" s="21"/>
      <c r="C6" s="19"/>
      <c r="D6" s="14"/>
      <c r="E6"/>
      <c r="F6" s="20"/>
    </row>
    <row r="7" spans="1:9" ht="15.75" customHeight="1" x14ac:dyDescent="0.15">
      <c r="A7" s="22"/>
      <c r="B7" s="19"/>
      <c r="C7" s="19"/>
      <c r="D7" s="14"/>
      <c r="E7"/>
      <c r="F7" s="7"/>
    </row>
    <row r="8" spans="1:9" s="26" customFormat="1" ht="19.5" customHeight="1" x14ac:dyDescent="0.15">
      <c r="A8" s="23" t="s">
        <v>4</v>
      </c>
      <c r="B8" s="23" t="s">
        <v>5</v>
      </c>
      <c r="C8" s="23" t="s">
        <v>6</v>
      </c>
      <c r="D8" s="24" t="s">
        <v>7</v>
      </c>
      <c r="E8" s="25" t="s">
        <v>8</v>
      </c>
      <c r="F8" s="24" t="s">
        <v>9</v>
      </c>
      <c r="G8" s="24" t="s">
        <v>10</v>
      </c>
      <c r="H8" s="24" t="s">
        <v>11</v>
      </c>
      <c r="I8" s="24" t="s">
        <v>12</v>
      </c>
    </row>
    <row r="9" spans="1:9" s="31" customFormat="1" ht="16.5" customHeight="1" x14ac:dyDescent="0.15">
      <c r="A9" s="52" t="s">
        <v>13</v>
      </c>
      <c r="B9" s="17" t="s">
        <v>14</v>
      </c>
      <c r="C9"/>
      <c r="D9" s="27">
        <v>1</v>
      </c>
      <c r="E9" s="28"/>
      <c r="F9" s="29">
        <f t="shared" ref="F9:F30" si="0">D9*E9</f>
        <v>0</v>
      </c>
      <c r="G9" s="30"/>
      <c r="H9" s="30"/>
      <c r="I9" s="30"/>
    </row>
    <row r="10" spans="1:9" s="31" customFormat="1" ht="16.5" customHeight="1" x14ac:dyDescent="0.15">
      <c r="A10" s="52" t="s">
        <v>15</v>
      </c>
      <c r="B10" s="17" t="s">
        <v>16</v>
      </c>
      <c r="C10"/>
      <c r="D10" s="27">
        <v>1</v>
      </c>
      <c r="E10" s="28"/>
      <c r="F10" s="29">
        <f t="shared" si="0"/>
        <v>0</v>
      </c>
      <c r="G10" s="30"/>
      <c r="H10" s="30"/>
      <c r="I10" s="30"/>
    </row>
    <row r="11" spans="1:9" s="31" customFormat="1" ht="16.5" customHeight="1" x14ac:dyDescent="0.15">
      <c r="A11" s="52" t="s">
        <v>17</v>
      </c>
      <c r="B11" s="17" t="s">
        <v>18</v>
      </c>
      <c r="C11"/>
      <c r="D11" s="27">
        <v>4</v>
      </c>
      <c r="E11" s="28"/>
      <c r="F11" s="29">
        <f t="shared" si="0"/>
        <v>0</v>
      </c>
      <c r="G11" s="30"/>
      <c r="H11" s="30"/>
      <c r="I11" s="30"/>
    </row>
    <row r="12" spans="1:9" s="31" customFormat="1" ht="16.5" customHeight="1" x14ac:dyDescent="0.15">
      <c r="A12" s="52" t="s">
        <v>19</v>
      </c>
      <c r="B12" s="17" t="s">
        <v>20</v>
      </c>
      <c r="C12"/>
      <c r="D12" s="27">
        <v>1</v>
      </c>
      <c r="E12" s="28"/>
      <c r="F12" s="29">
        <f t="shared" si="0"/>
        <v>0</v>
      </c>
      <c r="G12" s="30"/>
      <c r="H12" s="30"/>
      <c r="I12" s="30"/>
    </row>
    <row r="13" spans="1:9" s="31" customFormat="1" ht="16.5" customHeight="1" x14ac:dyDescent="0.15">
      <c r="A13" s="52" t="s">
        <v>21</v>
      </c>
      <c r="B13" s="17" t="s">
        <v>22</v>
      </c>
      <c r="C13"/>
      <c r="D13" s="27">
        <v>1</v>
      </c>
      <c r="E13" s="28"/>
      <c r="F13" s="29">
        <f t="shared" si="0"/>
        <v>0</v>
      </c>
      <c r="G13" s="30"/>
      <c r="H13" s="30"/>
      <c r="I13" s="30"/>
    </row>
    <row r="14" spans="1:9" s="31" customFormat="1" ht="16.5" customHeight="1" x14ac:dyDescent="0.15">
      <c r="A14" s="52" t="s">
        <v>23</v>
      </c>
      <c r="B14" s="17" t="s">
        <v>24</v>
      </c>
      <c r="C14"/>
      <c r="D14" s="27">
        <v>1</v>
      </c>
      <c r="E14" s="28"/>
      <c r="F14" s="29">
        <f t="shared" si="0"/>
        <v>0</v>
      </c>
      <c r="G14" s="30"/>
      <c r="H14" s="30"/>
      <c r="I14" s="30"/>
    </row>
    <row r="15" spans="1:9" s="31" customFormat="1" ht="16.5" customHeight="1" x14ac:dyDescent="0.15">
      <c r="A15" s="52" t="s">
        <v>25</v>
      </c>
      <c r="B15" s="17" t="s">
        <v>26</v>
      </c>
      <c r="C15"/>
      <c r="D15" s="27">
        <v>1</v>
      </c>
      <c r="E15" s="28"/>
      <c r="F15" s="29">
        <f t="shared" si="0"/>
        <v>0</v>
      </c>
      <c r="G15" s="30"/>
      <c r="H15" s="30"/>
      <c r="I15" s="30"/>
    </row>
    <row r="16" spans="1:9" s="31" customFormat="1" ht="16.5" customHeight="1" x14ac:dyDescent="0.15">
      <c r="A16" s="52" t="s">
        <v>27</v>
      </c>
      <c r="B16" s="17" t="s">
        <v>28</v>
      </c>
      <c r="C16"/>
      <c r="D16" s="27">
        <v>1</v>
      </c>
      <c r="E16" s="28"/>
      <c r="F16" s="29">
        <f t="shared" si="0"/>
        <v>0</v>
      </c>
      <c r="G16" s="30"/>
      <c r="H16" s="30"/>
      <c r="I16" s="30"/>
    </row>
    <row r="17" spans="1:9" s="31" customFormat="1" ht="16.5" customHeight="1" x14ac:dyDescent="0.15">
      <c r="A17" s="52" t="s">
        <v>29</v>
      </c>
      <c r="B17" s="17" t="s">
        <v>30</v>
      </c>
      <c r="C17"/>
      <c r="D17" s="27">
        <v>3</v>
      </c>
      <c r="E17" s="28"/>
      <c r="F17" s="29">
        <f t="shared" si="0"/>
        <v>0</v>
      </c>
      <c r="G17" s="30"/>
      <c r="H17" s="30"/>
      <c r="I17" s="30"/>
    </row>
    <row r="18" spans="1:9" s="31" customFormat="1" ht="16.5" customHeight="1" x14ac:dyDescent="0.15">
      <c r="A18" s="52" t="s">
        <v>31</v>
      </c>
      <c r="B18" s="17" t="s">
        <v>32</v>
      </c>
      <c r="C18"/>
      <c r="D18" s="27">
        <v>1</v>
      </c>
      <c r="E18" s="28"/>
      <c r="F18" s="29">
        <f t="shared" si="0"/>
        <v>0</v>
      </c>
      <c r="G18" s="30"/>
      <c r="H18" s="30"/>
      <c r="I18" s="30"/>
    </row>
    <row r="19" spans="1:9" s="31" customFormat="1" ht="16.5" customHeight="1" x14ac:dyDescent="0.15">
      <c r="A19" s="52" t="s">
        <v>33</v>
      </c>
      <c r="B19" s="17" t="s">
        <v>34</v>
      </c>
      <c r="C19"/>
      <c r="D19" s="27">
        <v>1</v>
      </c>
      <c r="E19" s="28"/>
      <c r="F19" s="29">
        <f t="shared" si="0"/>
        <v>0</v>
      </c>
      <c r="G19" s="30"/>
      <c r="H19" s="30"/>
      <c r="I19" s="30"/>
    </row>
    <row r="20" spans="1:9" s="31" customFormat="1" ht="16.5" customHeight="1" x14ac:dyDescent="0.15">
      <c r="A20" s="52" t="s">
        <v>35</v>
      </c>
      <c r="B20" s="17" t="s">
        <v>36</v>
      </c>
      <c r="C20"/>
      <c r="D20" s="27">
        <v>1</v>
      </c>
      <c r="E20" s="28"/>
      <c r="F20" s="29">
        <f t="shared" si="0"/>
        <v>0</v>
      </c>
      <c r="G20" s="30"/>
      <c r="H20" s="30"/>
      <c r="I20" s="30"/>
    </row>
    <row r="21" spans="1:9" s="31" customFormat="1" ht="16.5" customHeight="1" x14ac:dyDescent="0.15">
      <c r="A21" s="52" t="s">
        <v>37</v>
      </c>
      <c r="B21" s="17" t="s">
        <v>38</v>
      </c>
      <c r="C21"/>
      <c r="D21" s="27">
        <v>2</v>
      </c>
      <c r="E21" s="28"/>
      <c r="F21" s="29">
        <f t="shared" si="0"/>
        <v>0</v>
      </c>
      <c r="G21" s="30"/>
      <c r="H21" s="30"/>
      <c r="I21" s="30"/>
    </row>
    <row r="22" spans="1:9" s="31" customFormat="1" ht="16.5" customHeight="1" x14ac:dyDescent="0.15">
      <c r="A22" s="52" t="s">
        <v>39</v>
      </c>
      <c r="B22" s="17" t="s">
        <v>40</v>
      </c>
      <c r="C22"/>
      <c r="D22" s="27">
        <v>1</v>
      </c>
      <c r="E22" s="28"/>
      <c r="F22" s="29">
        <f t="shared" si="0"/>
        <v>0</v>
      </c>
      <c r="G22" s="30"/>
      <c r="H22" s="30"/>
      <c r="I22" s="30"/>
    </row>
    <row r="23" spans="1:9" s="31" customFormat="1" ht="16.5" customHeight="1" x14ac:dyDescent="0.15">
      <c r="A23" s="52" t="s">
        <v>41</v>
      </c>
      <c r="B23" s="17" t="s">
        <v>42</v>
      </c>
      <c r="C23"/>
      <c r="D23" s="27">
        <v>4</v>
      </c>
      <c r="E23" s="28"/>
      <c r="F23" s="29">
        <f t="shared" si="0"/>
        <v>0</v>
      </c>
      <c r="G23" s="30"/>
      <c r="H23" s="30"/>
      <c r="I23" s="30"/>
    </row>
    <row r="24" spans="1:9" s="31" customFormat="1" ht="16.5" customHeight="1" x14ac:dyDescent="0.15">
      <c r="A24" s="52" t="s">
        <v>43</v>
      </c>
      <c r="B24" s="17" t="s">
        <v>44</v>
      </c>
      <c r="C24"/>
      <c r="D24" s="27">
        <v>4</v>
      </c>
      <c r="E24" s="28"/>
      <c r="F24" s="29">
        <f t="shared" si="0"/>
        <v>0</v>
      </c>
      <c r="G24" s="30"/>
      <c r="H24" s="30"/>
      <c r="I24" s="30"/>
    </row>
    <row r="25" spans="1:9" s="31" customFormat="1" ht="16.5" customHeight="1" x14ac:dyDescent="0.15">
      <c r="A25" s="52" t="s">
        <v>45</v>
      </c>
      <c r="B25" s="17" t="s">
        <v>46</v>
      </c>
      <c r="C25"/>
      <c r="D25" s="27">
        <v>3</v>
      </c>
      <c r="E25" s="28"/>
      <c r="F25" s="29">
        <f t="shared" si="0"/>
        <v>0</v>
      </c>
      <c r="G25" s="30"/>
      <c r="H25" s="30"/>
      <c r="I25" s="30"/>
    </row>
    <row r="26" spans="1:9" s="31" customFormat="1" ht="16.5" customHeight="1" x14ac:dyDescent="0.15">
      <c r="A26" s="52" t="s">
        <v>47</v>
      </c>
      <c r="B26" s="17" t="s">
        <v>48</v>
      </c>
      <c r="C26"/>
      <c r="D26" s="27">
        <v>1</v>
      </c>
      <c r="E26" s="28"/>
      <c r="F26" s="29">
        <f t="shared" si="0"/>
        <v>0</v>
      </c>
      <c r="G26" s="30"/>
      <c r="H26" s="30"/>
      <c r="I26" s="30"/>
    </row>
    <row r="27" spans="1:9" s="31" customFormat="1" ht="16.5" customHeight="1" x14ac:dyDescent="0.15">
      <c r="A27" s="52" t="s">
        <v>49</v>
      </c>
      <c r="B27" s="17" t="s">
        <v>50</v>
      </c>
      <c r="C27"/>
      <c r="D27" s="27">
        <v>1</v>
      </c>
      <c r="E27" s="28"/>
      <c r="F27" s="29">
        <f t="shared" si="0"/>
        <v>0</v>
      </c>
      <c r="G27" s="30"/>
      <c r="H27" s="30"/>
      <c r="I27" s="30"/>
    </row>
    <row r="28" spans="1:9" s="31" customFormat="1" ht="16.5" customHeight="1" x14ac:dyDescent="0.15">
      <c r="A28" s="52" t="s">
        <v>51</v>
      </c>
      <c r="B28" s="17" t="s">
        <v>52</v>
      </c>
      <c r="C28"/>
      <c r="D28" s="27">
        <v>1</v>
      </c>
      <c r="E28" s="28"/>
      <c r="F28" s="29">
        <f t="shared" si="0"/>
        <v>0</v>
      </c>
      <c r="G28" s="30"/>
      <c r="H28" s="30"/>
      <c r="I28" s="30"/>
    </row>
    <row r="29" spans="1:9" s="31" customFormat="1" ht="16.5" customHeight="1" x14ac:dyDescent="0.15">
      <c r="A29" s="52" t="s">
        <v>53</v>
      </c>
      <c r="B29" s="17" t="s">
        <v>54</v>
      </c>
      <c r="C29"/>
      <c r="D29" s="27">
        <v>1</v>
      </c>
      <c r="E29" s="28"/>
      <c r="F29" s="29">
        <f t="shared" si="0"/>
        <v>0</v>
      </c>
      <c r="G29" s="30"/>
      <c r="H29" s="30"/>
      <c r="I29" s="30"/>
    </row>
    <row r="30" spans="1:9" s="31" customFormat="1" ht="16.5" customHeight="1" x14ac:dyDescent="0.15">
      <c r="A30" s="52" t="s">
        <v>55</v>
      </c>
      <c r="B30" s="17" t="s">
        <v>56</v>
      </c>
      <c r="C30"/>
      <c r="D30" s="27">
        <v>1</v>
      </c>
      <c r="E30" s="28"/>
      <c r="F30" s="29">
        <f t="shared" si="0"/>
        <v>0</v>
      </c>
      <c r="G30" s="30"/>
      <c r="H30" s="30"/>
      <c r="I30" s="30"/>
    </row>
    <row r="31" spans="1:9" s="31" customFormat="1" ht="16.5" customHeight="1" x14ac:dyDescent="0.15">
      <c r="A31" s="52" t="s">
        <v>57</v>
      </c>
      <c r="B31" s="17" t="s">
        <v>58</v>
      </c>
      <c r="C31"/>
      <c r="D31" s="27">
        <v>1</v>
      </c>
      <c r="E31" s="28"/>
      <c r="F31" s="29"/>
      <c r="G31" s="30"/>
      <c r="H31" s="30"/>
      <c r="I31" s="30"/>
    </row>
    <row r="32" spans="1:9" s="31" customFormat="1" ht="16.5" customHeight="1" x14ac:dyDescent="0.15">
      <c r="A32" s="32"/>
      <c r="B32" s="33"/>
      <c r="C32" s="33"/>
      <c r="D32" s="34"/>
      <c r="E32" s="28"/>
      <c r="F32" s="29"/>
      <c r="G32" s="30"/>
      <c r="H32" s="30"/>
      <c r="I32" s="30"/>
    </row>
    <row r="33" spans="1:9" s="31" customFormat="1" ht="16.5" customHeight="1" x14ac:dyDescent="0.15">
      <c r="A33" s="32"/>
      <c r="B33" s="33"/>
      <c r="C33" s="33"/>
      <c r="D33" s="34"/>
      <c r="E33" s="28"/>
      <c r="F33" s="29"/>
      <c r="G33" s="30"/>
      <c r="H33" s="30"/>
      <c r="I33" s="30"/>
    </row>
    <row r="34" spans="1:9" s="31" customFormat="1" ht="16.5" customHeight="1" x14ac:dyDescent="0.15">
      <c r="A34" s="32"/>
      <c r="B34" s="33"/>
      <c r="C34" s="33"/>
      <c r="D34" s="34"/>
      <c r="E34" s="28"/>
      <c r="F34" s="29"/>
      <c r="G34" s="30"/>
      <c r="H34" s="30"/>
      <c r="I34" s="30"/>
    </row>
    <row r="35" spans="1:9" s="31" customFormat="1" ht="16.5" customHeight="1" x14ac:dyDescent="0.15">
      <c r="A35" s="32"/>
      <c r="B35" s="33"/>
      <c r="C35" s="33"/>
      <c r="D35" s="34">
        <v>0</v>
      </c>
      <c r="E35" s="28"/>
      <c r="F35" s="29">
        <f>D35*E35</f>
        <v>0</v>
      </c>
      <c r="G35" s="30"/>
      <c r="H35" s="30"/>
      <c r="I35" s="30"/>
    </row>
    <row r="36" spans="1:9" ht="17.75" customHeight="1" x14ac:dyDescent="0.15">
      <c r="A36" s="35"/>
      <c r="B36" s="36"/>
      <c r="C36" s="36"/>
      <c r="D36" s="37">
        <f>SUM(D9:D26)</f>
        <v>32</v>
      </c>
      <c r="E36" s="38" t="s">
        <v>59</v>
      </c>
      <c r="F36" s="39">
        <f>SUM(F9:F26)</f>
        <v>0</v>
      </c>
      <c r="G36" s="40"/>
      <c r="H36" s="40"/>
      <c r="I36" s="40"/>
    </row>
    <row r="37" spans="1:9" x14ac:dyDescent="0.15">
      <c r="A37" s="35"/>
      <c r="B37" s="36"/>
      <c r="C37" s="36"/>
      <c r="D37" s="37"/>
      <c r="E37" s="38" t="s">
        <v>60</v>
      </c>
      <c r="F37" s="41">
        <f>F36*0.1</f>
        <v>0</v>
      </c>
      <c r="G37" s="40" t="s">
        <v>61</v>
      </c>
      <c r="H37" s="40"/>
      <c r="I37" s="40"/>
    </row>
    <row r="38" spans="1:9" s="31" customFormat="1" ht="16.5" customHeight="1" x14ac:dyDescent="0.15">
      <c r="A38" s="42"/>
      <c r="B38" s="30" t="s">
        <v>62</v>
      </c>
      <c r="C38" s="30"/>
      <c r="D38" s="34">
        <v>1</v>
      </c>
      <c r="E38" s="38"/>
      <c r="F38" s="41">
        <v>0.43</v>
      </c>
      <c r="G38" s="30" t="s">
        <v>63</v>
      </c>
      <c r="H38" s="43" t="s">
        <v>64</v>
      </c>
      <c r="I38" s="30"/>
    </row>
    <row r="39" spans="1:9" ht="20" customHeight="1" x14ac:dyDescent="0.15">
      <c r="C39" s="44" t="s">
        <v>65</v>
      </c>
      <c r="D39" s="45"/>
      <c r="E39" s="46"/>
      <c r="F39" s="47">
        <f>F36+F37+F38</f>
        <v>0.43</v>
      </c>
      <c r="H39" s="1" t="s">
        <v>66</v>
      </c>
    </row>
    <row r="40" spans="1:9" x14ac:dyDescent="0.15">
      <c r="D40" s="1">
        <v>1</v>
      </c>
      <c r="F40" s="48"/>
    </row>
    <row r="41" spans="1:9" x14ac:dyDescent="0.15">
      <c r="F41" s="49">
        <f>F39+F40</f>
        <v>0.43</v>
      </c>
    </row>
  </sheetData>
  <sheetProtection selectLockedCells="1" selectUnlockedCells="1"/>
  <mergeCells count="1">
    <mergeCell ref="A2:B2"/>
  </mergeCells>
  <pageMargins left="0.47222222222222227" right="0.35416666666666669" top="0.59027777777777779" bottom="0.98402777777777795" header="0.51181102362204722" footer="0.51180555555555562"/>
  <pageSetup paperSize="9" firstPageNumber="0" orientation="landscape" horizontalDpi="300" verticalDpi="300"/>
  <headerFooter alignWithMargins="0">
    <oddFooter>&amp;L&amp;8JCM TECHNOLOGIES S.A. Confidential&amp;C&amp;D&amp;RPage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jgriera</dc:creator>
  <cp:lastModifiedBy>Jordi Beringues</cp:lastModifiedBy>
  <cp:revision>27</cp:revision>
  <cp:lastPrinted>2023-05-17T14:57:55Z</cp:lastPrinted>
  <dcterms:created xsi:type="dcterms:W3CDTF">2022-01-10T11:02:03Z</dcterms:created>
  <dcterms:modified xsi:type="dcterms:W3CDTF">2026-01-02T18:28:36Z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</Properties>
</file>