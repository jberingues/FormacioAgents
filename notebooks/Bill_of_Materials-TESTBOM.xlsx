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jberinguesf/Documents/Cursor/FormacioAgents/notebooks/"/>
    </mc:Choice>
  </mc:AlternateContent>
  <xr:revisionPtr revIDLastSave="0" documentId="8_{70BF2F59-BDD0-8F4B-8608-46476717D3AA}" xr6:coauthVersionLast="47" xr6:coauthVersionMax="47" xr10:uidLastSave="{00000000-0000-0000-0000-000000000000}"/>
  <bookViews>
    <workbookView xWindow="7220" yWindow="660" windowWidth="25960" windowHeight="18980" tabRatio="500" xr2:uid="{C9B2E580-955F-C641-9DFA-C1CBFC31729D}"/>
  </bookViews>
  <sheets>
    <sheet name="BOM Report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</calcChain>
</file>

<file path=xl/sharedStrings.xml><?xml version="1.0" encoding="utf-8"?>
<sst xmlns="http://schemas.openxmlformats.org/spreadsheetml/2006/main" count="180" uniqueCount="165">
  <si>
    <t>Bill of Materials</t>
  </si>
  <si>
    <t>Variant:</t>
  </si>
  <si>
    <t>Creation Date:</t>
  </si>
  <si>
    <t>PCB version :</t>
  </si>
  <si>
    <t>3006446-00</t>
  </si>
  <si>
    <t>MATERIAL</t>
  </si>
  <si>
    <t>Description</t>
  </si>
  <si>
    <t>Designator</t>
  </si>
  <si>
    <t>Quantity</t>
  </si>
  <si>
    <t>Manufacturer</t>
  </si>
  <si>
    <t>Part Number</t>
  </si>
  <si>
    <t>3005401</t>
  </si>
  <si>
    <t>CAP ALUM 120U TH 8x15MM 50V 20%</t>
  </si>
  <si>
    <t>C1</t>
  </si>
  <si>
    <t>NICHICON</t>
  </si>
  <si>
    <t>UPW1H121MPD</t>
  </si>
  <si>
    <t>YAGEO</t>
  </si>
  <si>
    <t>3000595</t>
  </si>
  <si>
    <t>CAP CERAMIC 1N SMD 0603 25V 10% X7R</t>
  </si>
  <si>
    <t>C5, C11, C12, C22, C23, C24, C25</t>
  </si>
  <si>
    <t>CC0603KRX7R9BB102</t>
  </si>
  <si>
    <t>3000598</t>
  </si>
  <si>
    <t>CAP CERAMIC 100N SMD 0603 16V 10% Y5V</t>
  </si>
  <si>
    <t>C21</t>
  </si>
  <si>
    <t>CC0603KRX7R7BB104</t>
  </si>
  <si>
    <t>3005930</t>
  </si>
  <si>
    <t>DIODE TRANSIL SMAJ15A-TR 15V 400W SMA</t>
  </si>
  <si>
    <t>D1</t>
  </si>
  <si>
    <t>VISHAY</t>
  </si>
  <si>
    <t>SMA15A-E3/5A</t>
  </si>
  <si>
    <t>3003669</t>
  </si>
  <si>
    <t>DIODE 1N 4148 SMD SOD80C</t>
  </si>
  <si>
    <t>D2, D7, D8, D9, D10</t>
  </si>
  <si>
    <t>ONSEMI</t>
  </si>
  <si>
    <t>LL4148</t>
  </si>
  <si>
    <t>3003677</t>
  </si>
  <si>
    <t>DIODE LED RED REVERSE MOUNT SMD 1206</t>
  </si>
  <si>
    <t>D3, D4, D6</t>
  </si>
  <si>
    <t>LITEON</t>
  </si>
  <si>
    <t xml:space="preserve">LTST-C230CKT </t>
  </si>
  <si>
    <t>3003678</t>
  </si>
  <si>
    <t>DIODE LED GREEN REVERSE MOUNT SMD 1206</t>
  </si>
  <si>
    <t>D5</t>
  </si>
  <si>
    <t xml:space="preserve">LTST-C230GKT </t>
  </si>
  <si>
    <t>3005922</t>
  </si>
  <si>
    <t>SMD FUSE 1.25A 250V SLO-BLO</t>
  </si>
  <si>
    <t>F2</t>
  </si>
  <si>
    <t>LITTELFUSE</t>
  </si>
  <si>
    <t>04431.25ERE</t>
  </si>
  <si>
    <t>ANYTEK</t>
  </si>
  <si>
    <t>3006130</t>
  </si>
  <si>
    <t>TERMINAL BLOCK 5P 20-16AWG R3,5MM ANYTEK</t>
  </si>
  <si>
    <t>J4, J7</t>
  </si>
  <si>
    <t>HC0500530000G</t>
  </si>
  <si>
    <t>3006448</t>
  </si>
  <si>
    <t>RELAY GEN PURPOSE DPDT 15X7,5 2A 12V</t>
  </si>
  <si>
    <t>K1, K2</t>
  </si>
  <si>
    <t>HONGFA RELAY</t>
  </si>
  <si>
    <t>HFD3/12</t>
  </si>
  <si>
    <t>3006449</t>
  </si>
  <si>
    <t>TRANS PREBIAS NPN 1K-10K 50V 0,5A SMD</t>
  </si>
  <si>
    <t>Q1, Q2, Q3, Q5, Q6, Q7</t>
  </si>
  <si>
    <t>ROHM</t>
  </si>
  <si>
    <t>DTD113ZCT116</t>
  </si>
  <si>
    <t>3003807</t>
  </si>
  <si>
    <t>TRANSISTOR NPN SMD BC847BLT1 SOT–323</t>
  </si>
  <si>
    <t>Q4</t>
  </si>
  <si>
    <t>DIOTEC</t>
  </si>
  <si>
    <t>BC847B</t>
  </si>
  <si>
    <t>3003939</t>
  </si>
  <si>
    <t>RESISTOR 3K3 SMD 0603 5% 0,1W</t>
  </si>
  <si>
    <t>R1, R2, R21</t>
  </si>
  <si>
    <t>RC0603JR-103K3L</t>
  </si>
  <si>
    <t>3003928</t>
  </si>
  <si>
    <t>RESISTOR 470R SMD 0603 5% 0,1W</t>
  </si>
  <si>
    <t>R3, R5</t>
  </si>
  <si>
    <t>RC0603JR-10470RL</t>
  </si>
  <si>
    <t>3003914</t>
  </si>
  <si>
    <t>RESISTOR 1K SMD 0603 5% 0,1W</t>
  </si>
  <si>
    <t>R4, R22, R23, R41, R42</t>
  </si>
  <si>
    <t>RC0603JR-101KL</t>
  </si>
  <si>
    <t>3003926</t>
  </si>
  <si>
    <t>RESISTOR 100K SMD 0603 5% 0,1W</t>
  </si>
  <si>
    <t>R6, R7, R28, R29</t>
  </si>
  <si>
    <t>RC0603JR-10100KL</t>
  </si>
  <si>
    <t>3003915</t>
  </si>
  <si>
    <t>RESISTOR 22K SMD 0603 5% 0,1W</t>
  </si>
  <si>
    <t>R27</t>
  </si>
  <si>
    <t>RC0603JR-1022KL</t>
  </si>
  <si>
    <t>3003922</t>
  </si>
  <si>
    <t>RESISTOR 4K7 SMD 0603 5% 0,1W</t>
  </si>
  <si>
    <t>R36, R38</t>
  </si>
  <si>
    <t>RC0603JR-104K7L</t>
  </si>
  <si>
    <t>3000833</t>
  </si>
  <si>
    <t>IC VOLTAGE REG LDO 3V3 KF33BD SMD SO8</t>
  </si>
  <si>
    <t>U1</t>
  </si>
  <si>
    <t>STMicroelectronics</t>
  </si>
  <si>
    <t>KF33BD-TR</t>
  </si>
  <si>
    <t>3000965</t>
  </si>
  <si>
    <t>IC OPTO ISOLTR TPL181 3.75KV TRANS</t>
  </si>
  <si>
    <t>U2, U3, U7, U8</t>
  </si>
  <si>
    <t>ISOCOM</t>
  </si>
  <si>
    <t>IS357B</t>
  </si>
  <si>
    <t>3005074</t>
  </si>
  <si>
    <t>IC MCU STM32L071KBU6 32 PINS 128KB FLASH</t>
  </si>
  <si>
    <t>U4</t>
  </si>
  <si>
    <t>STM32L071KBU6</t>
  </si>
  <si>
    <t>3000812</t>
  </si>
  <si>
    <t>IC HIGH PREC COMPARATOR LM393 SMD 8SOIC</t>
  </si>
  <si>
    <t>U5</t>
  </si>
  <si>
    <t>LM393DT</t>
  </si>
  <si>
    <t>3000836</t>
  </si>
  <si>
    <t>IC VOLTAGE REG LDO 5V L7805ABD SMD SO8</t>
  </si>
  <si>
    <t>U6</t>
  </si>
  <si>
    <t>ON SEMICONDUCTORS</t>
  </si>
  <si>
    <t>MC78L05ABDR2G</t>
  </si>
  <si>
    <t>Approved</t>
  </si>
  <si>
    <t>Notes</t>
  </si>
  <si>
    <t>493-1900-ND</t>
  </si>
  <si>
    <t xml:space="preserve">311-1085-1-ND </t>
  </si>
  <si>
    <t xml:space="preserve">587-1245-1-ND </t>
  </si>
  <si>
    <t xml:space="preserve">311-1181-1-ND </t>
  </si>
  <si>
    <t xml:space="preserve">311-1080-1-ND </t>
  </si>
  <si>
    <t xml:space="preserve">490-5523-1-ND </t>
  </si>
  <si>
    <t>1276-2162-1-ND</t>
  </si>
  <si>
    <t xml:space="preserve">1276-1006-1-ND </t>
  </si>
  <si>
    <t xml:space="preserve">490-1543-1-ND </t>
  </si>
  <si>
    <t xml:space="preserve">311-1088-1-ND </t>
  </si>
  <si>
    <t xml:space="preserve">SMAJ15A-E3/5AGICT-ND </t>
  </si>
  <si>
    <t xml:space="preserve">LL4148FSCT-ND </t>
  </si>
  <si>
    <t xml:space="preserve">160-1186-1-ND </t>
  </si>
  <si>
    <t xml:space="preserve">160-1188-1-ND </t>
  </si>
  <si>
    <t xml:space="preserve">P7251-ND </t>
  </si>
  <si>
    <t xml:space="preserve">18-04431.25ERECT-ND </t>
  </si>
  <si>
    <t xml:space="preserve">609-3874-ND </t>
  </si>
  <si>
    <t>455-B4B-XH-A-ND</t>
  </si>
  <si>
    <t>277-7675-ND</t>
  </si>
  <si>
    <t>277-6355-ND</t>
  </si>
  <si>
    <t xml:space="preserve">277-1624-ND </t>
  </si>
  <si>
    <t xml:space="preserve">609-3896-ND </t>
  </si>
  <si>
    <t>399-11029-5-ND</t>
  </si>
  <si>
    <t xml:space="preserve">118-CMH322522-100KLCT-ND </t>
  </si>
  <si>
    <t xml:space="preserve">DTD113ZCT116CT-ND </t>
  </si>
  <si>
    <t xml:space="preserve">4878-BC847BCT-ND </t>
  </si>
  <si>
    <t xml:space="preserve">13-RC0603JR-103K3LCT-ND  </t>
  </si>
  <si>
    <t xml:space="preserve">13-AC0603JR-13470RLCT-ND </t>
  </si>
  <si>
    <t xml:space="preserve">13-RC0603FR-101KLCT-ND </t>
  </si>
  <si>
    <t xml:space="preserve">YAG2294CT-ND </t>
  </si>
  <si>
    <t xml:space="preserve">13-RC0603JR-10100RLCT-ND </t>
  </si>
  <si>
    <t xml:space="preserve">13-RC0603JR-1015KLCT-ND </t>
  </si>
  <si>
    <t xml:space="preserve">13-RC0603JR-1033KLCT-ND </t>
  </si>
  <si>
    <t xml:space="preserve">13-RC0603JR-1010KLCT-ND </t>
  </si>
  <si>
    <t xml:space="preserve">13-RC0603JR-1047KLCT-ND </t>
  </si>
  <si>
    <t xml:space="preserve">13-RC0603JR-102K2LCT-ND </t>
  </si>
  <si>
    <t xml:space="preserve">13-RC0603JR-108K2LCT-ND </t>
  </si>
  <si>
    <t xml:space="preserve">A103614CT-ND </t>
  </si>
  <si>
    <t xml:space="preserve">13-RC0603JR-1022KLCT-ND </t>
  </si>
  <si>
    <t xml:space="preserve">13-RC0603JR-104K7LCT-ND </t>
  </si>
  <si>
    <t xml:space="preserve">13-RC0603JR-1047RLCT-ND </t>
  </si>
  <si>
    <t xml:space="preserve">497-7757-1-ND </t>
  </si>
  <si>
    <t xml:space="preserve">58-IS357BCT-ND </t>
  </si>
  <si>
    <t xml:space="preserve">497-17499-ND </t>
  </si>
  <si>
    <t xml:space="preserve">497-1593-1-ND </t>
  </si>
  <si>
    <t xml:space="preserve">MC78L05ABDR2GOSCT-ND </t>
  </si>
  <si>
    <t>S-TESTBOM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</si>
</sst>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2" x14ac:knownFonts="1">
    <font>
      <sz val="10"/>
      <name val="Arial"/>
      <charset val="1"/>
    </font>
    <font>
      <b/>
      <sz val="24"/>
      <name val="Arial"/>
      <family val="2"/>
      <charset val="1"/>
    </font>
    <font>
      <b/>
      <sz val="10"/>
      <name val="Arial"/>
      <family val="2"/>
      <charset val="1"/>
    </font>
    <font>
      <b/>
      <sz val="14"/>
      <name val="Arial"/>
      <family val="2"/>
      <charset val="1"/>
    </font>
    <font>
      <sz val="9"/>
      <name val="Arial"/>
      <family val="2"/>
    </font>
    <font>
      <b/>
      <sz val="9"/>
      <name val="Arial"/>
      <family val="2"/>
      <charset val="1"/>
    </font>
    <font>
      <sz val="10"/>
      <name val="Arial"/>
      <family val="2"/>
      <charset val="1"/>
    </font>
    <font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indexed="42"/>
        <bgColor indexed="27"/>
      </patternFill>
    </fill>
  </fills>
  <borders count="1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ashed">
        <color indexed="8"/>
      </left>
      <right/>
      <top style="thin">
        <color indexed="8"/>
      </top>
      <bottom/>
      <diagonal/>
    </border>
    <border>
      <left style="dashed">
        <color indexed="8"/>
      </left>
      <right/>
      <top/>
      <bottom/>
      <diagonal/>
    </border>
    <border>
      <left style="dashed">
        <color indexed="8"/>
      </left>
      <right/>
      <top/>
      <bottom style="thin">
        <color indexed="8"/>
      </bottom>
      <diagonal/>
    </border>
  </borders>
  <cellStyleXfs count="2">
    <xf numFmtId="0" fontId="0" fillId="0" borderId="0"/>
    <xf numFmtId="0" fontId="11" fillId="0" borderId="0"/>
  </cellStyleXfs>
  <cellXfs count="5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2" borderId="1" xfId="0" applyFill="1" applyBorder="1"/>
    <xf numFmtId="0" fontId="0" fillId="2" borderId="2" xfId="0" applyFill="1" applyBorder="1" applyAlignment="1">
      <alignment horizontal="left"/>
    </xf>
    <xf numFmtId="0" fontId="0" fillId="2" borderId="3" xfId="0" applyFill="1" applyBorder="1"/>
    <xf numFmtId="0" fontId="1" fillId="0" borderId="0" xfId="0" applyFont="1" applyAlignment="1">
      <alignment horizontal="center" vertical="center"/>
    </xf>
    <xf numFmtId="0" fontId="0" fillId="3" borderId="5" xfId="0" applyFill="1" applyBorder="1"/>
    <xf numFmtId="0" fontId="2" fillId="0" borderId="6" xfId="0" applyFont="1" applyBorder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0" fillId="0" borderId="5" xfId="0" applyBorder="1"/>
    <xf numFmtId="0" fontId="2" fillId="0" borderId="7" xfId="0" applyFont="1" applyBorder="1"/>
    <xf numFmtId="0" fontId="0" fillId="0" borderId="8" xfId="0" applyBorder="1" applyAlignment="1">
      <alignment horizontal="left"/>
    </xf>
    <xf numFmtId="0" fontId="0" fillId="0" borderId="9" xfId="0" applyBorder="1"/>
    <xf numFmtId="0" fontId="4" fillId="0" borderId="6" xfId="0" applyFont="1" applyBorder="1" applyAlignment="1">
      <alignment horizontal="right"/>
    </xf>
    <xf numFmtId="0" fontId="0" fillId="0" borderId="0" xfId="0" applyAlignment="1">
      <alignment horizontal="left"/>
    </xf>
    <xf numFmtId="0" fontId="2" fillId="0" borderId="10" xfId="0" applyFont="1" applyBorder="1" applyAlignment="1">
      <alignment horizontal="left"/>
    </xf>
    <xf numFmtId="0" fontId="0" fillId="0" borderId="6" xfId="0" applyBorder="1"/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6" xfId="0" applyFont="1" applyBorder="1" applyAlignment="1">
      <alignment vertical="top"/>
    </xf>
    <xf numFmtId="0" fontId="6" fillId="0" borderId="6" xfId="0" applyFont="1" applyBorder="1" applyAlignment="1">
      <alignment horizontal="left" vertical="top"/>
    </xf>
    <xf numFmtId="1" fontId="6" fillId="2" borderId="6" xfId="0" applyNumberFormat="1" applyFont="1" applyFill="1" applyBorder="1" applyAlignment="1">
      <alignment vertical="top"/>
    </xf>
    <xf numFmtId="0" fontId="7" fillId="0" borderId="12" xfId="0" applyFont="1" applyBorder="1" applyAlignment="1">
      <alignment horizontal="center" vertical="top"/>
    </xf>
    <xf numFmtId="0" fontId="6" fillId="0" borderId="12" xfId="0" applyFont="1" applyBorder="1" applyAlignment="1">
      <alignment horizontal="center" vertical="top"/>
    </xf>
    <xf numFmtId="0" fontId="6" fillId="0" borderId="0" xfId="0" applyFont="1" applyAlignment="1">
      <alignment vertical="top"/>
    </xf>
    <xf numFmtId="0" fontId="0" fillId="0" borderId="12" xfId="0" applyBorder="1" applyAlignment="1">
      <alignment horizontal="center" wrapText="1"/>
    </xf>
    <xf numFmtId="0" fontId="8" fillId="0" borderId="12" xfId="0" applyFont="1" applyBorder="1" applyAlignment="1">
      <alignment horizontal="center" vertical="top"/>
    </xf>
    <xf numFmtId="164" fontId="0" fillId="0" borderId="1" xfId="0" applyNumberFormat="1" applyBorder="1" applyAlignment="1">
      <alignment vertical="top"/>
    </xf>
    <xf numFmtId="0" fontId="0" fillId="0" borderId="2" xfId="0" applyBorder="1" applyAlignment="1">
      <alignment horizontal="left" vertical="top"/>
    </xf>
    <xf numFmtId="1" fontId="0" fillId="2" borderId="12" xfId="0" applyNumberFormat="1" applyFill="1" applyBorder="1" applyAlignment="1">
      <alignment vertical="top"/>
    </xf>
    <xf numFmtId="0" fontId="0" fillId="0" borderId="2" xfId="0" applyBorder="1" applyAlignment="1">
      <alignment vertical="top"/>
    </xf>
    <xf numFmtId="0" fontId="9" fillId="0" borderId="6" xfId="0" applyFont="1" applyBorder="1" applyAlignment="1" applyProtection="1">
      <alignment vertical="top"/>
      <protection locked="0"/>
    </xf>
    <xf numFmtId="0" fontId="9" fillId="0" borderId="0" xfId="0" applyFont="1" applyAlignment="1" applyProtection="1">
      <alignment horizontal="left" vertical="top"/>
      <protection locked="0"/>
    </xf>
    <xf numFmtId="0" fontId="0" fillId="0" borderId="5" xfId="0" applyBorder="1" applyAlignment="1" applyProtection="1">
      <alignment vertical="top"/>
      <protection locked="0"/>
    </xf>
    <xf numFmtId="0" fontId="0" fillId="0" borderId="1" xfId="0" applyBorder="1" applyAlignment="1" applyProtection="1">
      <alignment vertical="top"/>
      <protection locked="0"/>
    </xf>
    <xf numFmtId="0" fontId="0" fillId="0" borderId="13" xfId="0" applyBorder="1" applyAlignment="1" applyProtection="1">
      <alignment horizontal="left" vertical="top"/>
      <protection locked="0"/>
    </xf>
    <xf numFmtId="0" fontId="0" fillId="0" borderId="2" xfId="0" applyBorder="1" applyAlignment="1" applyProtection="1">
      <alignment horizontal="left" vertical="top"/>
      <protection locked="0"/>
    </xf>
    <xf numFmtId="0" fontId="0" fillId="0" borderId="3" xfId="0" applyBorder="1" applyAlignment="1" applyProtection="1">
      <alignment vertical="top"/>
      <protection locked="0"/>
    </xf>
    <xf numFmtId="0" fontId="0" fillId="0" borderId="6" xfId="0" applyBorder="1" applyAlignment="1" applyProtection="1">
      <alignment vertical="top"/>
      <protection locked="0"/>
    </xf>
    <xf numFmtId="0" fontId="0" fillId="0" borderId="14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7" xfId="0" applyBorder="1" applyAlignment="1" applyProtection="1">
      <alignment vertical="top"/>
      <protection locked="0"/>
    </xf>
    <xf numFmtId="0" fontId="0" fillId="0" borderId="15" xfId="0" applyBorder="1" applyAlignment="1" applyProtection="1">
      <alignment horizontal="left" vertical="top"/>
      <protection locked="0"/>
    </xf>
    <xf numFmtId="0" fontId="0" fillId="0" borderId="8" xfId="0" applyBorder="1" applyAlignment="1" applyProtection="1">
      <alignment horizontal="left"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10" fillId="2" borderId="1" xfId="0" applyFont="1" applyFill="1" applyBorder="1" applyAlignment="1" applyProtection="1">
      <alignment vertical="top" wrapText="1"/>
      <protection locked="0"/>
    </xf>
    <xf numFmtId="0" fontId="0" fillId="2" borderId="2" xfId="0" applyFill="1" applyBorder="1" applyAlignment="1" applyProtection="1">
      <alignment horizontal="left" vertical="top" wrapText="1"/>
      <protection locked="0"/>
    </xf>
    <xf numFmtId="0" fontId="10" fillId="2" borderId="3" xfId="0" applyFont="1" applyFill="1" applyBorder="1" applyAlignment="1" applyProtection="1">
      <alignment vertical="top" wrapText="1"/>
      <protection locked="0"/>
    </xf>
    <xf numFmtId="0" fontId="0" fillId="2" borderId="7" xfId="0" applyFill="1" applyBorder="1" applyAlignment="1" applyProtection="1">
      <alignment vertical="top" wrapText="1"/>
      <protection locked="0"/>
    </xf>
    <xf numFmtId="0" fontId="0" fillId="2" borderId="8" xfId="0" applyFill="1" applyBorder="1" applyAlignment="1" applyProtection="1">
      <alignment horizontal="left" vertical="top" wrapText="1"/>
      <protection locked="0"/>
    </xf>
    <xf numFmtId="0" fontId="10" fillId="2" borderId="9" xfId="0" applyFont="1" applyFill="1" applyBorder="1" applyAlignment="1" applyProtection="1">
      <alignment vertical="top" wrapText="1"/>
      <protection locked="0"/>
    </xf>
    <xf numFmtId="0" fontId="1" fillId="0" borderId="4" xfId="0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left"/>
    </xf>
  </cellXfs>
  <cellStyles count="2">
    <cellStyle name="Normal" xfId="0" builtinId="0"/>
    <cellStyle name="Normal 2" xfId="1" xr:uid="{41B78380-B404-C249-9281-6474BAE3A6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38100</xdr:rowOff>
    </xdr:from>
    <xdr:to>
      <xdr:col>3</xdr:col>
      <xdr:colOff>1536700</xdr:colOff>
      <xdr:row>2</xdr:row>
      <xdr:rowOff>12700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ABAC1B3-9EE6-B05C-80AE-4CE76F93E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3600" y="203200"/>
          <a:ext cx="1536700" cy="444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2D765-6B8D-2F47-9684-A7C590CE8AF8}">
  <sheetPr>
    <pageSetUpPr fitToPage="1"/>
  </sheetPr>
  <dimension ref="A1:IV42"/>
  <sheetViews>
    <sheetView showGridLines="0" tabSelected="1" workbookViewId="0">
      <selection activeCell="B18" sqref="B18"/>
    </sheetView>
  </sheetViews>
  <sheetFormatPr baseColWidth="10" defaultRowHeight="13" x14ac:dyDescent="0.15"/>
  <cols>
    <col min="1" max="1" width="16.5" style="1" customWidth="1"/>
    <col min="2" max="2" width="46.1640625" style="2" customWidth="1"/>
    <col min="3" max="3" width="32" style="2" customWidth="1"/>
    <col min="4" max="4" width="26.1640625" style="1" customWidth="1"/>
    <col min="5" max="5" width="22.5" style="1" customWidth="1"/>
    <col min="6" max="6" width="36.5" style="1" customWidth="1"/>
    <col min="7" max="250" width="9.1640625" style="1" customWidth="1"/>
    <col min="251" max="256" width="8.83203125" customWidth="1"/>
  </cols>
  <sheetData>
    <row r="1" spans="1:256" x14ac:dyDescent="0.15">
      <c r="A1" s="3"/>
      <c r="B1" s="4"/>
      <c r="C1" s="4"/>
      <c r="D1" s="5"/>
    </row>
    <row r="2" spans="1:256" ht="37.5" customHeight="1" x14ac:dyDescent="0.15">
      <c r="A2" s="54" t="s">
        <v>0</v>
      </c>
      <c r="B2" s="54"/>
      <c r="C2" s="6"/>
      <c r="D2" s="7"/>
    </row>
    <row r="3" spans="1:256" ht="26.25" customHeight="1" x14ac:dyDescent="0.2">
      <c r="A3" s="8" t="s">
        <v>1</v>
      </c>
      <c r="B3" s="9" t="s">
        <v>164</v>
      </c>
      <c r="C3" s="10"/>
      <c r="D3" s="11"/>
    </row>
    <row r="4" spans="1:256" x14ac:dyDescent="0.15">
      <c r="A4" s="12"/>
      <c r="B4" s="13"/>
      <c r="C4" s="13"/>
      <c r="D4" s="14"/>
    </row>
    <row r="5" spans="1:256" ht="15.75" customHeight="1" x14ac:dyDescent="0.15">
      <c r="A5" s="15" t="s">
        <v>2</v>
      </c>
      <c r="B5" s="55">
        <v>45967</v>
      </c>
      <c r="C5" s="16"/>
      <c r="D5" s="11"/>
    </row>
    <row r="6" spans="1:256" ht="15.75" customHeight="1" x14ac:dyDescent="0.15">
      <c r="A6" s="15" t="s">
        <v>3</v>
      </c>
      <c r="B6" s="17" t="s">
        <v>4</v>
      </c>
      <c r="C6" s="16"/>
      <c r="D6" s="11"/>
    </row>
    <row r="7" spans="1:256" ht="15.75" customHeight="1" x14ac:dyDescent="0.15">
      <c r="A7" s="18"/>
      <c r="B7" s="16"/>
      <c r="C7" s="16"/>
      <c r="D7" s="11"/>
    </row>
    <row r="8" spans="1:256" s="21" customFormat="1" ht="19.5" customHeight="1" x14ac:dyDescent="0.15">
      <c r="A8" s="19" t="s">
        <v>5</v>
      </c>
      <c r="B8" s="19" t="s">
        <v>6</v>
      </c>
      <c r="C8" s="19" t="s">
        <v>7</v>
      </c>
      <c r="D8" s="20" t="s">
        <v>8</v>
      </c>
      <c r="E8" s="20" t="s">
        <v>9</v>
      </c>
      <c r="F8" s="20" t="s">
        <v>10</v>
      </c>
      <c r="IQ8"/>
      <c r="IR8"/>
      <c r="IS8"/>
      <c r="IT8"/>
      <c r="IU8"/>
      <c r="IV8"/>
    </row>
    <row r="9" spans="1:256" s="27" customFormat="1" ht="16.5" customHeight="1" x14ac:dyDescent="0.15">
      <c r="A9" s="22" t="s">
        <v>11</v>
      </c>
      <c r="B9" s="23" t="s">
        <v>12</v>
      </c>
      <c r="C9" s="23" t="s">
        <v>13</v>
      </c>
      <c r="D9" s="24">
        <v>1</v>
      </c>
      <c r="E9" s="25" t="s">
        <v>14</v>
      </c>
      <c r="F9" s="26" t="s">
        <v>15</v>
      </c>
      <c r="IQ9"/>
      <c r="IR9"/>
      <c r="IS9"/>
      <c r="IT9"/>
      <c r="IU9"/>
      <c r="IV9"/>
    </row>
    <row r="10" spans="1:256" s="27" customFormat="1" ht="16.5" customHeight="1" x14ac:dyDescent="0.15">
      <c r="A10" s="22" t="s">
        <v>17</v>
      </c>
      <c r="B10" s="23" t="s">
        <v>18</v>
      </c>
      <c r="C10" s="23" t="s">
        <v>19</v>
      </c>
      <c r="D10" s="24">
        <v>7</v>
      </c>
      <c r="E10" s="26" t="s">
        <v>16</v>
      </c>
      <c r="F10" s="26" t="s">
        <v>20</v>
      </c>
      <c r="IQ10"/>
      <c r="IR10"/>
      <c r="IS10"/>
      <c r="IT10"/>
      <c r="IU10"/>
      <c r="IV10"/>
    </row>
    <row r="11" spans="1:256" s="27" customFormat="1" ht="16.5" customHeight="1" x14ac:dyDescent="0.15">
      <c r="A11" s="22" t="s">
        <v>21</v>
      </c>
      <c r="B11" s="23" t="s">
        <v>22</v>
      </c>
      <c r="C11" s="23" t="s">
        <v>23</v>
      </c>
      <c r="D11" s="24">
        <v>1</v>
      </c>
      <c r="E11" s="26" t="s">
        <v>16</v>
      </c>
      <c r="F11" s="28" t="s">
        <v>24</v>
      </c>
      <c r="IQ11"/>
      <c r="IR11"/>
      <c r="IS11"/>
      <c r="IT11"/>
      <c r="IU11"/>
      <c r="IV11"/>
    </row>
    <row r="12" spans="1:256" s="27" customFormat="1" ht="16.5" customHeight="1" x14ac:dyDescent="0.15">
      <c r="A12" s="22" t="s">
        <v>25</v>
      </c>
      <c r="B12" s="23" t="s">
        <v>26</v>
      </c>
      <c r="C12" s="23" t="s">
        <v>27</v>
      </c>
      <c r="D12" s="24">
        <v>1</v>
      </c>
      <c r="E12" s="26" t="s">
        <v>28</v>
      </c>
      <c r="F12" s="26" t="s">
        <v>29</v>
      </c>
      <c r="IQ12"/>
      <c r="IR12"/>
      <c r="IS12"/>
      <c r="IT12"/>
      <c r="IU12"/>
      <c r="IV12"/>
    </row>
    <row r="13" spans="1:256" s="27" customFormat="1" ht="16.5" customHeight="1" x14ac:dyDescent="0.15">
      <c r="A13" s="22" t="s">
        <v>30</v>
      </c>
      <c r="B13" s="23" t="s">
        <v>31</v>
      </c>
      <c r="C13" s="23" t="s">
        <v>32</v>
      </c>
      <c r="D13" s="24">
        <v>5</v>
      </c>
      <c r="E13" s="26" t="s">
        <v>33</v>
      </c>
      <c r="F13" s="26" t="s">
        <v>34</v>
      </c>
      <c r="IQ13"/>
      <c r="IR13"/>
      <c r="IS13"/>
      <c r="IT13"/>
      <c r="IU13"/>
      <c r="IV13"/>
    </row>
    <row r="14" spans="1:256" s="27" customFormat="1" ht="16.5" customHeight="1" x14ac:dyDescent="0.15">
      <c r="A14" s="22" t="s">
        <v>35</v>
      </c>
      <c r="B14" s="23" t="s">
        <v>36</v>
      </c>
      <c r="C14" s="23" t="s">
        <v>37</v>
      </c>
      <c r="D14" s="24">
        <v>3</v>
      </c>
      <c r="E14" s="26" t="s">
        <v>38</v>
      </c>
      <c r="F14" s="28" t="s">
        <v>39</v>
      </c>
      <c r="IQ14"/>
      <c r="IR14"/>
      <c r="IS14"/>
      <c r="IT14"/>
      <c r="IU14"/>
      <c r="IV14"/>
    </row>
    <row r="15" spans="1:256" s="27" customFormat="1" ht="16.5" customHeight="1" x14ac:dyDescent="0.15">
      <c r="A15" s="22" t="s">
        <v>40</v>
      </c>
      <c r="B15" s="23" t="s">
        <v>41</v>
      </c>
      <c r="C15" s="23" t="s">
        <v>42</v>
      </c>
      <c r="D15" s="24">
        <v>1</v>
      </c>
      <c r="E15" s="26" t="s">
        <v>38</v>
      </c>
      <c r="F15" s="28" t="s">
        <v>43</v>
      </c>
      <c r="IQ15"/>
      <c r="IR15"/>
      <c r="IS15"/>
      <c r="IT15"/>
      <c r="IU15"/>
      <c r="IV15"/>
    </row>
    <row r="16" spans="1:256" s="27" customFormat="1" ht="16.5" customHeight="1" x14ac:dyDescent="0.15">
      <c r="A16" s="22" t="s">
        <v>44</v>
      </c>
      <c r="B16" s="23" t="s">
        <v>45</v>
      </c>
      <c r="C16" s="23" t="s">
        <v>46</v>
      </c>
      <c r="D16" s="24">
        <v>1</v>
      </c>
      <c r="E16" s="26" t="s">
        <v>47</v>
      </c>
      <c r="F16" s="26" t="s">
        <v>48</v>
      </c>
      <c r="IQ16"/>
      <c r="IR16"/>
      <c r="IS16"/>
      <c r="IT16"/>
      <c r="IU16"/>
      <c r="IV16"/>
    </row>
    <row r="17" spans="1:256" s="27" customFormat="1" ht="16.5" customHeight="1" x14ac:dyDescent="0.15">
      <c r="A17" s="22" t="s">
        <v>50</v>
      </c>
      <c r="B17" s="23" t="s">
        <v>51</v>
      </c>
      <c r="C17" s="23" t="s">
        <v>52</v>
      </c>
      <c r="D17" s="24">
        <v>2</v>
      </c>
      <c r="E17" s="29" t="s">
        <v>49</v>
      </c>
      <c r="F17" s="25" t="s">
        <v>53</v>
      </c>
      <c r="G17"/>
      <c r="IQ17"/>
      <c r="IR17"/>
      <c r="IS17"/>
      <c r="IT17"/>
      <c r="IU17"/>
      <c r="IV17"/>
    </row>
    <row r="18" spans="1:256" s="27" customFormat="1" ht="16.5" customHeight="1" x14ac:dyDescent="0.15">
      <c r="A18" s="22" t="s">
        <v>54</v>
      </c>
      <c r="B18" s="23" t="s">
        <v>55</v>
      </c>
      <c r="C18" s="23" t="s">
        <v>56</v>
      </c>
      <c r="D18" s="24">
        <v>2</v>
      </c>
      <c r="E18" s="26" t="s">
        <v>57</v>
      </c>
      <c r="F18" s="26" t="s">
        <v>58</v>
      </c>
      <c r="IQ18"/>
      <c r="IR18"/>
      <c r="IS18"/>
      <c r="IT18"/>
      <c r="IU18"/>
      <c r="IV18"/>
    </row>
    <row r="19" spans="1:256" s="27" customFormat="1" ht="16.5" customHeight="1" x14ac:dyDescent="0.15">
      <c r="A19" s="22" t="s">
        <v>59</v>
      </c>
      <c r="B19" s="23" t="s">
        <v>60</v>
      </c>
      <c r="C19" s="23" t="s">
        <v>61</v>
      </c>
      <c r="D19" s="24">
        <v>6</v>
      </c>
      <c r="E19" s="26" t="s">
        <v>62</v>
      </c>
      <c r="F19" s="26" t="s">
        <v>63</v>
      </c>
      <c r="IQ19"/>
      <c r="IR19"/>
      <c r="IS19"/>
      <c r="IT19"/>
      <c r="IU19"/>
      <c r="IV19"/>
    </row>
    <row r="20" spans="1:256" s="27" customFormat="1" ht="16.5" customHeight="1" x14ac:dyDescent="0.15">
      <c r="A20" s="22" t="s">
        <v>64</v>
      </c>
      <c r="B20" s="23" t="s">
        <v>65</v>
      </c>
      <c r="C20" s="23" t="s">
        <v>66</v>
      </c>
      <c r="D20" s="24">
        <v>1</v>
      </c>
      <c r="E20" s="26" t="s">
        <v>67</v>
      </c>
      <c r="F20" s="26" t="s">
        <v>68</v>
      </c>
      <c r="IQ20"/>
      <c r="IR20"/>
      <c r="IS20"/>
      <c r="IT20"/>
      <c r="IU20"/>
      <c r="IV20"/>
    </row>
    <row r="21" spans="1:256" s="27" customFormat="1" ht="16.5" customHeight="1" x14ac:dyDescent="0.15">
      <c r="A21" s="22" t="s">
        <v>69</v>
      </c>
      <c r="B21" s="23" t="s">
        <v>70</v>
      </c>
      <c r="C21" s="23" t="s">
        <v>71</v>
      </c>
      <c r="D21" s="24">
        <v>3</v>
      </c>
      <c r="E21" s="26" t="s">
        <v>16</v>
      </c>
      <c r="F21" s="28" t="s">
        <v>72</v>
      </c>
      <c r="IQ21"/>
      <c r="IR21"/>
      <c r="IS21"/>
      <c r="IT21"/>
      <c r="IU21"/>
      <c r="IV21"/>
    </row>
    <row r="22" spans="1:256" s="27" customFormat="1" ht="16.5" customHeight="1" x14ac:dyDescent="0.15">
      <c r="A22" s="22" t="s">
        <v>73</v>
      </c>
      <c r="B22" s="23" t="s">
        <v>74</v>
      </c>
      <c r="C22" s="23" t="s">
        <v>75</v>
      </c>
      <c r="D22" s="24">
        <v>2</v>
      </c>
      <c r="E22" s="26" t="s">
        <v>16</v>
      </c>
      <c r="F22" s="28" t="s">
        <v>76</v>
      </c>
      <c r="IQ22"/>
      <c r="IR22"/>
      <c r="IS22"/>
      <c r="IT22"/>
      <c r="IU22"/>
      <c r="IV22"/>
    </row>
    <row r="23" spans="1:256" s="27" customFormat="1" ht="16.5" customHeight="1" x14ac:dyDescent="0.15">
      <c r="A23" s="22" t="s">
        <v>77</v>
      </c>
      <c r="B23" s="23" t="s">
        <v>78</v>
      </c>
      <c r="C23" s="23" t="s">
        <v>79</v>
      </c>
      <c r="D23" s="24">
        <v>5</v>
      </c>
      <c r="E23" s="26" t="s">
        <v>16</v>
      </c>
      <c r="F23" s="28" t="s">
        <v>80</v>
      </c>
      <c r="IQ23"/>
      <c r="IR23"/>
      <c r="IS23"/>
      <c r="IT23"/>
      <c r="IU23"/>
      <c r="IV23"/>
    </row>
    <row r="24" spans="1:256" s="27" customFormat="1" ht="16.5" customHeight="1" x14ac:dyDescent="0.15">
      <c r="A24" s="22" t="s">
        <v>81</v>
      </c>
      <c r="B24" s="23" t="s">
        <v>82</v>
      </c>
      <c r="C24" s="23" t="s">
        <v>83</v>
      </c>
      <c r="D24" s="24">
        <v>4</v>
      </c>
      <c r="E24" s="26" t="s">
        <v>16</v>
      </c>
      <c r="F24" s="28" t="s">
        <v>84</v>
      </c>
      <c r="IQ24"/>
      <c r="IR24"/>
      <c r="IS24"/>
      <c r="IT24"/>
      <c r="IU24"/>
      <c r="IV24"/>
    </row>
    <row r="25" spans="1:256" s="27" customFormat="1" ht="16.5" customHeight="1" x14ac:dyDescent="0.15">
      <c r="A25" s="22" t="s">
        <v>85</v>
      </c>
      <c r="B25" s="23" t="s">
        <v>86</v>
      </c>
      <c r="C25" s="23" t="s">
        <v>87</v>
      </c>
      <c r="D25" s="24">
        <v>1</v>
      </c>
      <c r="E25" s="26" t="s">
        <v>16</v>
      </c>
      <c r="F25" s="28" t="s">
        <v>88</v>
      </c>
      <c r="IQ25"/>
      <c r="IR25"/>
      <c r="IS25"/>
      <c r="IT25"/>
      <c r="IU25"/>
      <c r="IV25"/>
    </row>
    <row r="26" spans="1:256" s="27" customFormat="1" ht="16.5" customHeight="1" x14ac:dyDescent="0.15">
      <c r="A26" s="22" t="s">
        <v>89</v>
      </c>
      <c r="B26" s="23" t="s">
        <v>90</v>
      </c>
      <c r="C26" s="23" t="s">
        <v>91</v>
      </c>
      <c r="D26" s="24">
        <v>2</v>
      </c>
      <c r="E26" s="26" t="s">
        <v>16</v>
      </c>
      <c r="F26" s="28" t="s">
        <v>92</v>
      </c>
      <c r="IQ26"/>
      <c r="IR26"/>
      <c r="IS26"/>
      <c r="IT26"/>
      <c r="IU26"/>
      <c r="IV26"/>
    </row>
    <row r="27" spans="1:256" s="27" customFormat="1" ht="16.5" customHeight="1" x14ac:dyDescent="0.15">
      <c r="A27" s="22" t="s">
        <v>64</v>
      </c>
      <c r="B27" s="23" t="s">
        <v>65</v>
      </c>
      <c r="C27" s="23" t="s">
        <v>66</v>
      </c>
      <c r="D27" s="24">
        <v>1</v>
      </c>
      <c r="E27" s="26" t="s">
        <v>67</v>
      </c>
      <c r="F27" s="26" t="s">
        <v>68</v>
      </c>
      <c r="IQ27"/>
      <c r="IR27"/>
      <c r="IS27"/>
      <c r="IT27"/>
      <c r="IU27"/>
      <c r="IV27"/>
    </row>
    <row r="28" spans="1:256" s="27" customFormat="1" ht="16.5" customHeight="1" x14ac:dyDescent="0.15">
      <c r="A28" s="22" t="s">
        <v>93</v>
      </c>
      <c r="B28" s="23" t="s">
        <v>94</v>
      </c>
      <c r="C28" s="23" t="s">
        <v>95</v>
      </c>
      <c r="D28" s="24">
        <v>1</v>
      </c>
      <c r="E28" s="26" t="s">
        <v>96</v>
      </c>
      <c r="F28" s="26" t="s">
        <v>97</v>
      </c>
      <c r="IQ28"/>
      <c r="IR28"/>
      <c r="IS28"/>
      <c r="IT28"/>
      <c r="IU28"/>
      <c r="IV28"/>
    </row>
    <row r="29" spans="1:256" s="27" customFormat="1" ht="16.5" customHeight="1" x14ac:dyDescent="0.15">
      <c r="A29" s="22" t="s">
        <v>98</v>
      </c>
      <c r="B29" s="23" t="s">
        <v>99</v>
      </c>
      <c r="C29" s="23" t="s">
        <v>100</v>
      </c>
      <c r="D29" s="24">
        <v>4</v>
      </c>
      <c r="E29" s="26" t="s">
        <v>101</v>
      </c>
      <c r="F29" s="26" t="s">
        <v>102</v>
      </c>
      <c r="IQ29"/>
      <c r="IR29"/>
      <c r="IS29"/>
      <c r="IT29"/>
      <c r="IU29"/>
      <c r="IV29"/>
    </row>
    <row r="30" spans="1:256" s="27" customFormat="1" ht="16.5" customHeight="1" x14ac:dyDescent="0.15">
      <c r="A30" s="22" t="s">
        <v>103</v>
      </c>
      <c r="B30" s="23" t="s">
        <v>104</v>
      </c>
      <c r="C30" s="23" t="s">
        <v>105</v>
      </c>
      <c r="D30" s="24">
        <v>1</v>
      </c>
      <c r="E30" s="26" t="s">
        <v>96</v>
      </c>
      <c r="F30" s="26" t="s">
        <v>106</v>
      </c>
      <c r="IQ30"/>
      <c r="IR30"/>
      <c r="IS30"/>
      <c r="IT30"/>
      <c r="IU30"/>
      <c r="IV30"/>
    </row>
    <row r="31" spans="1:256" s="27" customFormat="1" ht="16.5" customHeight="1" x14ac:dyDescent="0.15">
      <c r="A31" s="22" t="s">
        <v>107</v>
      </c>
      <c r="B31" s="23" t="s">
        <v>108</v>
      </c>
      <c r="C31" s="23" t="s">
        <v>109</v>
      </c>
      <c r="D31" s="24">
        <v>1</v>
      </c>
      <c r="E31" s="26" t="s">
        <v>96</v>
      </c>
      <c r="F31" s="26" t="s">
        <v>110</v>
      </c>
      <c r="IQ31"/>
      <c r="IR31"/>
      <c r="IS31"/>
      <c r="IT31"/>
      <c r="IU31"/>
      <c r="IV31"/>
    </row>
    <row r="32" spans="1:256" s="27" customFormat="1" ht="16.5" customHeight="1" x14ac:dyDescent="0.15">
      <c r="A32" s="22" t="s">
        <v>111</v>
      </c>
      <c r="B32" s="23" t="s">
        <v>112</v>
      </c>
      <c r="C32" s="23" t="s">
        <v>113</v>
      </c>
      <c r="D32" s="24">
        <v>1</v>
      </c>
      <c r="E32" s="26" t="s">
        <v>114</v>
      </c>
      <c r="F32" s="26" t="s">
        <v>115</v>
      </c>
      <c r="IQ32"/>
      <c r="IR32"/>
      <c r="IS32"/>
      <c r="IT32"/>
      <c r="IU32"/>
      <c r="IV32"/>
    </row>
    <row r="33" spans="1:6" x14ac:dyDescent="0.15">
      <c r="A33" s="30"/>
      <c r="B33" s="31"/>
      <c r="C33" s="31"/>
      <c r="D33" s="32">
        <f>SUM(D9:D32)</f>
        <v>57</v>
      </c>
      <c r="E33" s="33"/>
      <c r="F33" s="33"/>
    </row>
    <row r="34" spans="1:6" ht="13.75" customHeight="1" x14ac:dyDescent="0.15">
      <c r="A34" s="34" t="s">
        <v>116</v>
      </c>
      <c r="B34" s="35" t="s">
        <v>117</v>
      </c>
      <c r="C34" s="35"/>
      <c r="D34" s="36"/>
    </row>
    <row r="35" spans="1:6" ht="13" customHeight="1" x14ac:dyDescent="0.15">
      <c r="A35" s="37"/>
      <c r="B35" s="38"/>
      <c r="C35" s="39"/>
      <c r="D35" s="40"/>
    </row>
    <row r="36" spans="1:6" ht="13" customHeight="1" x14ac:dyDescent="0.15">
      <c r="A36" s="41"/>
      <c r="B36" s="42"/>
      <c r="C36" s="43"/>
      <c r="D36" s="36"/>
    </row>
    <row r="37" spans="1:6" ht="13" customHeight="1" x14ac:dyDescent="0.15">
      <c r="A37" s="41"/>
      <c r="B37" s="42"/>
      <c r="C37" s="43"/>
      <c r="D37" s="36"/>
    </row>
    <row r="38" spans="1:6" ht="13" customHeight="1" x14ac:dyDescent="0.15">
      <c r="A38" s="41"/>
      <c r="B38" s="42"/>
      <c r="C38" s="43"/>
      <c r="D38" s="36"/>
    </row>
    <row r="39" spans="1:6" ht="9.75" customHeight="1" x14ac:dyDescent="0.15">
      <c r="A39" s="44"/>
      <c r="B39" s="45"/>
      <c r="C39" s="46"/>
      <c r="D39" s="47"/>
    </row>
    <row r="40" spans="1:6" ht="13" customHeight="1" x14ac:dyDescent="0.15">
      <c r="A40" s="44"/>
      <c r="B40" s="46"/>
      <c r="C40" s="46"/>
      <c r="D40" s="47"/>
    </row>
    <row r="41" spans="1:6" ht="13" customHeight="1" x14ac:dyDescent="0.15">
      <c r="A41" s="48"/>
      <c r="B41" s="49"/>
      <c r="C41" s="49"/>
      <c r="D41" s="50"/>
    </row>
    <row r="42" spans="1:6" ht="13" customHeight="1" x14ac:dyDescent="0.15">
      <c r="A42" s="51"/>
      <c r="B42" s="52"/>
      <c r="C42" s="52"/>
      <c r="D42" s="53"/>
    </row>
  </sheetData>
  <sheetProtection selectLockedCells="1" selectUnlockedCells="1"/>
  <mergeCells count="1">
    <mergeCell ref="A2:B2"/>
  </mergeCells>
  <pageMargins left="0.47222222222222227" right="0.35416666666666669" top="0.59027777777777779" bottom="0.98402777777777795" header="0.51181102362204722" footer="0.51180555555555562"/>
  <pageSetup paperSize="9" firstPageNumber="0" orientation="landscape" horizontalDpi="300" verticalDpi="300"/>
  <headerFooter alignWithMargins="0">
    <oddFooter>&amp;L&amp;8JCM TECHNOLOGIES S.A. Confidential&amp;C&amp;D&amp;RPage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3BB7F-DC15-204B-BD0B-0BB0FD9322EC}">
  <dimension ref="A1:B46"/>
  <sheetViews>
    <sheetView topLeftCell="A16" workbookViewId="0">
      <selection activeCell="D20" sqref="D20"/>
    </sheetView>
  </sheetViews>
  <sheetFormatPr baseColWidth="10" defaultColWidth="11.5" defaultRowHeight="13" x14ac:dyDescent="0.15"/>
  <cols>
    <col min="2" max="2" width="27.33203125" customWidth="1"/>
  </cols>
  <sheetData>
    <row r="1" spans="1:2" x14ac:dyDescent="0.15">
      <c r="A1">
        <v>10</v>
      </c>
      <c r="B1" t="s">
        <v>118</v>
      </c>
    </row>
    <row r="2" spans="1:2" x14ac:dyDescent="0.15">
      <c r="A2">
        <v>10</v>
      </c>
      <c r="B2" t="s">
        <v>119</v>
      </c>
    </row>
    <row r="3" spans="1:2" x14ac:dyDescent="0.15">
      <c r="A3">
        <v>60</v>
      </c>
      <c r="B3" t="s">
        <v>120</v>
      </c>
    </row>
    <row r="4" spans="1:2" x14ac:dyDescent="0.15">
      <c r="A4">
        <v>10</v>
      </c>
      <c r="B4" t="s">
        <v>121</v>
      </c>
    </row>
    <row r="5" spans="1:2" x14ac:dyDescent="0.15">
      <c r="A5">
        <v>70</v>
      </c>
      <c r="B5" t="s">
        <v>122</v>
      </c>
    </row>
    <row r="6" spans="1:2" x14ac:dyDescent="0.15">
      <c r="A6">
        <v>10</v>
      </c>
      <c r="B6" t="s">
        <v>123</v>
      </c>
    </row>
    <row r="7" spans="1:2" x14ac:dyDescent="0.15">
      <c r="A7">
        <v>10</v>
      </c>
      <c r="B7" t="s">
        <v>124</v>
      </c>
    </row>
    <row r="8" spans="1:2" x14ac:dyDescent="0.15">
      <c r="A8">
        <v>50</v>
      </c>
      <c r="B8" t="s">
        <v>125</v>
      </c>
    </row>
    <row r="9" spans="1:2" x14ac:dyDescent="0.15">
      <c r="A9">
        <v>10</v>
      </c>
      <c r="B9" t="s">
        <v>126</v>
      </c>
    </row>
    <row r="10" spans="1:2" x14ac:dyDescent="0.15">
      <c r="A10">
        <v>10</v>
      </c>
      <c r="B10" t="s">
        <v>127</v>
      </c>
    </row>
    <row r="11" spans="1:2" x14ac:dyDescent="0.15">
      <c r="A11">
        <v>10</v>
      </c>
      <c r="B11" t="s">
        <v>128</v>
      </c>
    </row>
    <row r="12" spans="1:2" x14ac:dyDescent="0.15">
      <c r="A12">
        <v>50</v>
      </c>
      <c r="B12" t="s">
        <v>129</v>
      </c>
    </row>
    <row r="13" spans="1:2" x14ac:dyDescent="0.15">
      <c r="A13">
        <v>30</v>
      </c>
      <c r="B13" t="s">
        <v>130</v>
      </c>
    </row>
    <row r="14" spans="1:2" x14ac:dyDescent="0.15">
      <c r="A14">
        <v>10</v>
      </c>
      <c r="B14" t="s">
        <v>131</v>
      </c>
    </row>
    <row r="15" spans="1:2" x14ac:dyDescent="0.15">
      <c r="A15">
        <v>10</v>
      </c>
      <c r="B15" t="s">
        <v>132</v>
      </c>
    </row>
    <row r="16" spans="1:2" x14ac:dyDescent="0.15">
      <c r="A16">
        <v>10</v>
      </c>
      <c r="B16" t="s">
        <v>133</v>
      </c>
    </row>
    <row r="17" spans="1:2" x14ac:dyDescent="0.15">
      <c r="A17">
        <v>10</v>
      </c>
      <c r="B17" t="s">
        <v>134</v>
      </c>
    </row>
    <row r="18" spans="1:2" x14ac:dyDescent="0.15">
      <c r="A18">
        <v>10</v>
      </c>
      <c r="B18" t="s">
        <v>135</v>
      </c>
    </row>
    <row r="19" spans="1:2" x14ac:dyDescent="0.15">
      <c r="A19">
        <v>20</v>
      </c>
      <c r="B19" t="s">
        <v>136</v>
      </c>
    </row>
    <row r="20" spans="1:2" x14ac:dyDescent="0.15">
      <c r="A20">
        <v>20</v>
      </c>
      <c r="B20" t="s">
        <v>137</v>
      </c>
    </row>
    <row r="21" spans="1:2" x14ac:dyDescent="0.15">
      <c r="A21">
        <v>10</v>
      </c>
      <c r="B21" t="s">
        <v>138</v>
      </c>
    </row>
    <row r="22" spans="1:2" x14ac:dyDescent="0.15">
      <c r="A22">
        <v>10</v>
      </c>
      <c r="B22" t="s">
        <v>139</v>
      </c>
    </row>
    <row r="23" spans="1:2" x14ac:dyDescent="0.15">
      <c r="A23">
        <v>20</v>
      </c>
      <c r="B23" t="s">
        <v>140</v>
      </c>
    </row>
    <row r="24" spans="1:2" x14ac:dyDescent="0.15">
      <c r="A24">
        <v>10</v>
      </c>
      <c r="B24" t="s">
        <v>141</v>
      </c>
    </row>
    <row r="25" spans="1:2" x14ac:dyDescent="0.15">
      <c r="A25">
        <v>60</v>
      </c>
      <c r="B25" t="s">
        <v>142</v>
      </c>
    </row>
    <row r="26" spans="1:2" x14ac:dyDescent="0.15">
      <c r="A26">
        <v>10</v>
      </c>
      <c r="B26" t="s">
        <v>143</v>
      </c>
    </row>
    <row r="27" spans="1:2" x14ac:dyDescent="0.15">
      <c r="A27">
        <v>30</v>
      </c>
      <c r="B27" t="s">
        <v>144</v>
      </c>
    </row>
    <row r="28" spans="1:2" x14ac:dyDescent="0.15">
      <c r="A28">
        <v>20</v>
      </c>
      <c r="B28" t="s">
        <v>145</v>
      </c>
    </row>
    <row r="29" spans="1:2" x14ac:dyDescent="0.15">
      <c r="A29">
        <v>50</v>
      </c>
      <c r="B29" t="s">
        <v>146</v>
      </c>
    </row>
    <row r="30" spans="1:2" x14ac:dyDescent="0.15">
      <c r="A30">
        <v>40</v>
      </c>
      <c r="B30" t="s">
        <v>147</v>
      </c>
    </row>
    <row r="31" spans="1:2" x14ac:dyDescent="0.15">
      <c r="A31">
        <v>50</v>
      </c>
      <c r="B31" t="s">
        <v>148</v>
      </c>
    </row>
    <row r="32" spans="1:2" x14ac:dyDescent="0.15">
      <c r="A32">
        <v>10</v>
      </c>
      <c r="B32" t="s">
        <v>149</v>
      </c>
    </row>
    <row r="33" spans="1:2" x14ac:dyDescent="0.15">
      <c r="A33">
        <v>10</v>
      </c>
      <c r="B33" t="s">
        <v>150</v>
      </c>
    </row>
    <row r="34" spans="1:2" x14ac:dyDescent="0.15">
      <c r="A34">
        <v>90</v>
      </c>
      <c r="B34" t="s">
        <v>151</v>
      </c>
    </row>
    <row r="35" spans="1:2" x14ac:dyDescent="0.15">
      <c r="A35">
        <v>10</v>
      </c>
      <c r="B35" t="s">
        <v>152</v>
      </c>
    </row>
    <row r="36" spans="1:2" x14ac:dyDescent="0.15">
      <c r="A36">
        <v>10</v>
      </c>
      <c r="B36" t="s">
        <v>153</v>
      </c>
    </row>
    <row r="37" spans="1:2" x14ac:dyDescent="0.15">
      <c r="A37">
        <v>20</v>
      </c>
      <c r="B37" t="s">
        <v>154</v>
      </c>
    </row>
    <row r="38" spans="1:2" x14ac:dyDescent="0.15">
      <c r="A38">
        <v>10</v>
      </c>
      <c r="B38" t="s">
        <v>155</v>
      </c>
    </row>
    <row r="39" spans="1:2" x14ac:dyDescent="0.15">
      <c r="A39">
        <v>10</v>
      </c>
      <c r="B39" t="s">
        <v>156</v>
      </c>
    </row>
    <row r="40" spans="1:2" x14ac:dyDescent="0.15">
      <c r="A40">
        <v>20</v>
      </c>
      <c r="B40" t="s">
        <v>157</v>
      </c>
    </row>
    <row r="41" spans="1:2" x14ac:dyDescent="0.15">
      <c r="A41">
        <v>20</v>
      </c>
      <c r="B41" t="s">
        <v>158</v>
      </c>
    </row>
    <row r="42" spans="1:2" x14ac:dyDescent="0.15">
      <c r="A42">
        <v>10</v>
      </c>
      <c r="B42" t="s">
        <v>159</v>
      </c>
    </row>
    <row r="43" spans="1:2" x14ac:dyDescent="0.15">
      <c r="A43">
        <v>40</v>
      </c>
      <c r="B43" t="s">
        <v>160</v>
      </c>
    </row>
    <row r="44" spans="1:2" x14ac:dyDescent="0.15">
      <c r="A44">
        <v>10</v>
      </c>
      <c r="B44" t="s">
        <v>161</v>
      </c>
    </row>
    <row r="45" spans="1:2" x14ac:dyDescent="0.15">
      <c r="A45">
        <v>10</v>
      </c>
      <c r="B45" t="s">
        <v>162</v>
      </c>
    </row>
    <row r="46" spans="1:2" x14ac:dyDescent="0.15">
      <c r="A46">
        <v>10</v>
      </c>
      <c r="B46" t="s">
        <v>163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366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 Report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jgriera</dc:creator>
  <cp:lastModifiedBy>Jordi Beringues</cp:lastModifiedBy>
  <cp:revision>97</cp:revision>
  <cp:lastPrinted>2002-11-05T12:50:54Z</cp:lastPrinted>
  <dcterms:created xsi:type="dcterms:W3CDTF">2022-01-10T11:02:03Z</dcterms:created>
  <dcterms:modified xsi:type="dcterms:W3CDTF">2026-01-24T05:46:58Z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</Properties>
</file>